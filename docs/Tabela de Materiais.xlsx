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getal" sheetId="1" r:id="rId5"/>
    <sheet state="visible" name="Mineral" sheetId="2" r:id="rId6"/>
    <sheet state="visible" name="Animal" sheetId="3" r:id="rId7"/>
    <sheet state="visible" name="Demoníaco" sheetId="4" r:id="rId8"/>
  </sheets>
  <definedNames/>
  <calcPr/>
</workbook>
</file>

<file path=xl/sharedStrings.xml><?xml version="1.0" encoding="utf-8"?>
<sst xmlns="http://schemas.openxmlformats.org/spreadsheetml/2006/main" count="484" uniqueCount="151">
  <si>
    <t>Rank</t>
  </si>
  <si>
    <t>Material</t>
  </si>
  <si>
    <t>Dano/Def</t>
  </si>
  <si>
    <t>Peso</t>
  </si>
  <si>
    <t>Raridade</t>
  </si>
  <si>
    <t>Durab.</t>
  </si>
  <si>
    <t>Efeito</t>
  </si>
  <si>
    <t>F</t>
  </si>
  <si>
    <t>Graveto Seco</t>
  </si>
  <si>
    <t>+0</t>
  </si>
  <si>
    <t>Leve</t>
  </si>
  <si>
    <t>Comum</t>
  </si>
  <si>
    <t>Quebra após um uso</t>
  </si>
  <si>
    <t>Bambu Oco</t>
  </si>
  <si>
    <t>+1</t>
  </si>
  <si>
    <t>Nenhum</t>
  </si>
  <si>
    <t>Casca de Pinheiro</t>
  </si>
  <si>
    <t>Pesado</t>
  </si>
  <si>
    <t>+5</t>
  </si>
  <si>
    <t>E</t>
  </si>
  <si>
    <t>Madeira de Bétula</t>
  </si>
  <si>
    <t>Incomum</t>
  </si>
  <si>
    <t>Fibra de Cânhamo</t>
  </si>
  <si>
    <t>+10</t>
  </si>
  <si>
    <t>Espinho de Arbusto</t>
  </si>
  <si>
    <t>+2</t>
  </si>
  <si>
    <t>D</t>
  </si>
  <si>
    <t>Carvalho Branco</t>
  </si>
  <si>
    <t>Raro</t>
  </si>
  <si>
    <t>Madeira de Ferro</t>
  </si>
  <si>
    <t>+20</t>
  </si>
  <si>
    <t>Raiz de Teixo</t>
  </si>
  <si>
    <t>+4</t>
  </si>
  <si>
    <t>C</t>
  </si>
  <si>
    <t>Cerne de Bordo</t>
  </si>
  <si>
    <t>Épico</t>
  </si>
  <si>
    <t>Casca de Salgueiro</t>
  </si>
  <si>
    <t>Reduz dano na durabilidade em 1</t>
  </si>
  <si>
    <t>Resina de Âmbar</t>
  </si>
  <si>
    <t>+15</t>
  </si>
  <si>
    <t>B</t>
  </si>
  <si>
    <t>Pétalas de Beladona</t>
  </si>
  <si>
    <t>Causa Alucinação (Crítico)</t>
  </si>
  <si>
    <t>Madeira de Ébano</t>
  </si>
  <si>
    <t>+6</t>
  </si>
  <si>
    <t>+25</t>
  </si>
  <si>
    <t>Causa Sangramento (Crítico)</t>
  </si>
  <si>
    <t>Lótus Azul</t>
  </si>
  <si>
    <t>Permite trocar HP por Arcana</t>
  </si>
  <si>
    <t>A</t>
  </si>
  <si>
    <t>Raiz de Mandrágora</t>
  </si>
  <si>
    <t>+8</t>
  </si>
  <si>
    <t>Causa Confusão (Crítico)</t>
  </si>
  <si>
    <t>Galho de Árvore Arcana</t>
  </si>
  <si>
    <t>Lendário</t>
  </si>
  <si>
    <t>Armazena 1d4 de Arcana (Crítico)</t>
  </si>
  <si>
    <t>Cipó de Sangue</t>
  </si>
  <si>
    <t>+9</t>
  </si>
  <si>
    <t>Rouba 1d4 de HP (Crítico)</t>
  </si>
  <si>
    <t>S</t>
  </si>
  <si>
    <t>Madeira de Yggdrasil</t>
  </si>
  <si>
    <t>+18</t>
  </si>
  <si>
    <t>+40</t>
  </si>
  <si>
    <t>Metade do dano na durabilidade</t>
  </si>
  <si>
    <t>Flor do Éden</t>
  </si>
  <si>
    <t>Causa Petrificação (Crítico)</t>
  </si>
  <si>
    <t>Semente Estelar</t>
  </si>
  <si>
    <t>Pedra Lascada</t>
  </si>
  <si>
    <t>Cobre</t>
  </si>
  <si>
    <t>Carvão Mineral</t>
  </si>
  <si>
    <t>Ferro</t>
  </si>
  <si>
    <t>Bronze</t>
  </si>
  <si>
    <t>Estanho</t>
  </si>
  <si>
    <t>Aço</t>
  </si>
  <si>
    <t>Quartzo</t>
  </si>
  <si>
    <t>Granito</t>
  </si>
  <si>
    <t>Aço Negro</t>
  </si>
  <si>
    <t>Prata</t>
  </si>
  <si>
    <t>Obsidiana</t>
  </si>
  <si>
    <t>Cobalto</t>
  </si>
  <si>
    <t>Cristalita</t>
  </si>
  <si>
    <t>Restaura 1d4 de durabilidade (Crítico)</t>
  </si>
  <si>
    <t>Platina</t>
  </si>
  <si>
    <t>Oricalco</t>
  </si>
  <si>
    <t>Jade Imperial</t>
  </si>
  <si>
    <t>Causa Paralisia (Crítico)</t>
  </si>
  <si>
    <t>Adamante</t>
  </si>
  <si>
    <t>Reduz dano na durabilidade em 2</t>
  </si>
  <si>
    <t>Mythril</t>
  </si>
  <si>
    <t>Rouba 1d4 de Arcana (Crítico)</t>
  </si>
  <si>
    <t>Eternium</t>
  </si>
  <si>
    <t>Indestrutível (Não perde durabilidade)</t>
  </si>
  <si>
    <t>Diamante Negro</t>
  </si>
  <si>
    <t>Osso Quebradiço</t>
  </si>
  <si>
    <t>Couro Desgastado</t>
  </si>
  <si>
    <t>Casco de Montaria</t>
  </si>
  <si>
    <t>Presa</t>
  </si>
  <si>
    <t xml:space="preserve">Couro </t>
  </si>
  <si>
    <t xml:space="preserve">Chifre </t>
  </si>
  <si>
    <t xml:space="preserve">Garra </t>
  </si>
  <si>
    <t xml:space="preserve">Ferrão </t>
  </si>
  <si>
    <t>Causa Envenenamento (Crítico)</t>
  </si>
  <si>
    <t xml:space="preserve">Escama </t>
  </si>
  <si>
    <t>Osso Robusto</t>
  </si>
  <si>
    <t>Couro Reforçado</t>
  </si>
  <si>
    <t>Garra de Animal Arcano</t>
  </si>
  <si>
    <t>Presa de Animal Arcano</t>
  </si>
  <si>
    <t>Ferrão de Animal Arcano</t>
  </si>
  <si>
    <t>Couro de Animal Arcano</t>
  </si>
  <si>
    <t>Imunidade à queimaduras</t>
  </si>
  <si>
    <t>Escama de Animal Arcano</t>
  </si>
  <si>
    <t>Pena de Animal Arcano</t>
  </si>
  <si>
    <t xml:space="preserve">Diminui o peso do equipamento </t>
  </si>
  <si>
    <t>Chifre de Animal Arcano</t>
  </si>
  <si>
    <t>Escama de Dragão</t>
  </si>
  <si>
    <t>Garra de Dragão</t>
  </si>
  <si>
    <t>Olho de Dragão</t>
  </si>
  <si>
    <t>Garra de Demônio Inferior</t>
  </si>
  <si>
    <t>Perde 1 de HP por uso</t>
  </si>
  <si>
    <t>Dente de Demônio Inferior</t>
  </si>
  <si>
    <t>Causa Envenenamento no usuário</t>
  </si>
  <si>
    <t>Couro de Demônio Inferior</t>
  </si>
  <si>
    <t>Osso de Demônio Inferior</t>
  </si>
  <si>
    <t>Perde 1d4 de HP por uso</t>
  </si>
  <si>
    <t>Carapaça de Demônio Inferior</t>
  </si>
  <si>
    <t>Coração de Demônio Inferior</t>
  </si>
  <si>
    <t>Armazena 1d4 de arcana</t>
  </si>
  <si>
    <t>Chifre de Demônio Inferior</t>
  </si>
  <si>
    <t>Garra de Demônio</t>
  </si>
  <si>
    <t>Perde 1 de Arcana por uso</t>
  </si>
  <si>
    <t>Dente de Demônio</t>
  </si>
  <si>
    <t>Causa Queimadura no usuário</t>
  </si>
  <si>
    <t>Couro de Demônio</t>
  </si>
  <si>
    <t>Osso de Demônio</t>
  </si>
  <si>
    <t>Carapaça de Demônio</t>
  </si>
  <si>
    <t>Causa Confusão no usuário (Crítico)</t>
  </si>
  <si>
    <t>Coração de Demônio</t>
  </si>
  <si>
    <t>Chifre de Demônio</t>
  </si>
  <si>
    <t>Garra de Demônio Superior</t>
  </si>
  <si>
    <t>Causa Cegueira (Crítico)</t>
  </si>
  <si>
    <t>Dente de Demônio Superior</t>
  </si>
  <si>
    <t>Causa Pânico/Fuga (Crítico)</t>
  </si>
  <si>
    <t>Couro de Demônio Superior</t>
  </si>
  <si>
    <t>Perde 1d6 de HP por uso</t>
  </si>
  <si>
    <t>Osso de Demônio Superior</t>
  </si>
  <si>
    <t>Carapaça de Demônio Superior</t>
  </si>
  <si>
    <t>Usuário morre se durabilidade chegar a 0</t>
  </si>
  <si>
    <t>Coração de Demônio Superior</t>
  </si>
  <si>
    <t>Rouba 1d6 de HP e Arcana (Crítico)</t>
  </si>
  <si>
    <t>Chifre de Demônio Superior</t>
  </si>
  <si>
    <t>Causa todos os status (Crítico)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</si>
</sst>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Veget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ne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im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moníac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2" displayName="Tabela_1" name="Tabela_1" id="1">
  <tableColumns count="7">
    <tableColumn name="Rank" id="1"/>
    <tableColumn name="Material" id="2"/>
    <tableColumn name="Dano/Def" id="3"/>
    <tableColumn name="Peso" id="4"/>
    <tableColumn name="Raridade" id="5"/>
    <tableColumn name="Durab." id="6"/>
    <tableColumn name="Efeito" id="7"/>
  </tableColumns>
  <tableStyleInfo name="Vegetal-style" showColumnStripes="0" showFirstColumn="1" showLastColumn="1" showRowStripes="1"/>
</table>
</file>

<file path=xl/tables/table2.xml><?xml version="1.0" encoding="utf-8"?>
<table xmlns="http://schemas.openxmlformats.org/spreadsheetml/2006/main" ref="A1:G22" displayName="Tabela_3" name="Tabela_3" id="2">
  <tableColumns count="7">
    <tableColumn name="Rank" id="1"/>
    <tableColumn name="Material" id="2"/>
    <tableColumn name="Dano/Def" id="3"/>
    <tableColumn name="Peso" id="4"/>
    <tableColumn name="Raridade" id="5"/>
    <tableColumn name="Durab." id="6"/>
    <tableColumn name="Efeito" id="7"/>
  </tableColumns>
  <tableStyleInfo name="Mineral-style" showColumnStripes="0" showFirstColumn="1" showLastColumn="1" showRowStripes="1"/>
</table>
</file>

<file path=xl/tables/table3.xml><?xml version="1.0" encoding="utf-8"?>
<table xmlns="http://schemas.openxmlformats.org/spreadsheetml/2006/main" ref="A1:G22" displayName="Tabela_2" name="Tabela_2" id="3">
  <tableColumns count="7">
    <tableColumn name="Rank" id="1"/>
    <tableColumn name="Material" id="2"/>
    <tableColumn name="Dano/Def" id="3"/>
    <tableColumn name="Peso" id="4"/>
    <tableColumn name="Raridade" id="5"/>
    <tableColumn name="Durab." id="6"/>
    <tableColumn name="Efeito" id="7"/>
  </tableColumns>
  <tableStyleInfo name="Animal-style" showColumnStripes="0" showFirstColumn="1" showLastColumn="1" showRowStripes="1"/>
</table>
</file>

<file path=xl/tables/table4.xml><?xml version="1.0" encoding="utf-8"?>
<table xmlns="http://schemas.openxmlformats.org/spreadsheetml/2006/main" ref="A1:G25" displayName="Tabela_4" name="Tabela_4" id="4">
  <tableColumns count="7">
    <tableColumn name="Rank" id="1"/>
    <tableColumn name="Material" id="2"/>
    <tableColumn name="Dano/Def" id="3"/>
    <tableColumn name="Peso" id="4"/>
    <tableColumn name="Raridade" id="5"/>
    <tableColumn name="Durab." id="6"/>
    <tableColumn name="Efeito" id="7"/>
  </tableColumns>
  <tableStyleInfo name="Demonía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75"/>
    <col customWidth="1" min="7" max="7" width="3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-10.0</v>
      </c>
      <c r="G2" s="2" t="s">
        <v>12</v>
      </c>
    </row>
    <row r="3" ht="22.5" customHeight="1">
      <c r="A3" s="2" t="s">
        <v>7</v>
      </c>
      <c r="B3" s="2" t="s">
        <v>13</v>
      </c>
      <c r="C3" s="2" t="s">
        <v>14</v>
      </c>
      <c r="D3" s="2" t="s">
        <v>10</v>
      </c>
      <c r="E3" s="2" t="s">
        <v>11</v>
      </c>
      <c r="F3" s="2">
        <v>-5.0</v>
      </c>
      <c r="G3" s="2" t="s">
        <v>15</v>
      </c>
    </row>
    <row r="4" ht="22.5" customHeight="1">
      <c r="A4" s="2" t="s">
        <v>7</v>
      </c>
      <c r="B4" s="2" t="s">
        <v>16</v>
      </c>
      <c r="C4" s="2" t="s">
        <v>14</v>
      </c>
      <c r="D4" s="2" t="s">
        <v>17</v>
      </c>
      <c r="E4" s="2" t="s">
        <v>11</v>
      </c>
      <c r="F4" s="2" t="s">
        <v>18</v>
      </c>
      <c r="G4" s="2" t="s">
        <v>15</v>
      </c>
    </row>
    <row r="5" ht="22.5" customHeight="1">
      <c r="A5" s="2" t="s">
        <v>19</v>
      </c>
      <c r="B5" s="2" t="s">
        <v>20</v>
      </c>
      <c r="C5" s="2" t="s">
        <v>14</v>
      </c>
      <c r="D5" s="2" t="s">
        <v>10</v>
      </c>
      <c r="E5" s="2" t="s">
        <v>21</v>
      </c>
      <c r="F5" s="2" t="s">
        <v>18</v>
      </c>
      <c r="G5" s="2" t="s">
        <v>15</v>
      </c>
    </row>
    <row r="6" ht="22.5" customHeight="1">
      <c r="A6" s="2" t="s">
        <v>19</v>
      </c>
      <c r="B6" s="2" t="s">
        <v>22</v>
      </c>
      <c r="C6" s="2" t="s">
        <v>9</v>
      </c>
      <c r="D6" s="2" t="s">
        <v>10</v>
      </c>
      <c r="E6" s="2" t="s">
        <v>11</v>
      </c>
      <c r="F6" s="2" t="s">
        <v>23</v>
      </c>
      <c r="G6" s="2" t="s">
        <v>15</v>
      </c>
    </row>
    <row r="7" ht="22.5" customHeight="1">
      <c r="A7" s="2" t="s">
        <v>19</v>
      </c>
      <c r="B7" s="2" t="s">
        <v>24</v>
      </c>
      <c r="C7" s="2" t="s">
        <v>25</v>
      </c>
      <c r="D7" s="2" t="s">
        <v>10</v>
      </c>
      <c r="E7" s="2" t="s">
        <v>21</v>
      </c>
      <c r="F7" s="2">
        <v>-5.0</v>
      </c>
      <c r="G7" s="2" t="s">
        <v>15</v>
      </c>
    </row>
    <row r="8" ht="22.5" customHeight="1">
      <c r="A8" s="2" t="s">
        <v>26</v>
      </c>
      <c r="B8" s="2" t="s">
        <v>27</v>
      </c>
      <c r="C8" s="2" t="s">
        <v>9</v>
      </c>
      <c r="D8" s="2" t="s">
        <v>10</v>
      </c>
      <c r="E8" s="2" t="s">
        <v>28</v>
      </c>
      <c r="F8" s="2" t="s">
        <v>23</v>
      </c>
      <c r="G8" s="2" t="s">
        <v>15</v>
      </c>
    </row>
    <row r="9" ht="22.5" customHeight="1">
      <c r="A9" s="2" t="s">
        <v>26</v>
      </c>
      <c r="B9" s="2" t="s">
        <v>29</v>
      </c>
      <c r="C9" s="2" t="s">
        <v>9</v>
      </c>
      <c r="D9" s="2" t="s">
        <v>17</v>
      </c>
      <c r="E9" s="2" t="s">
        <v>28</v>
      </c>
      <c r="F9" s="2" t="s">
        <v>30</v>
      </c>
      <c r="G9" s="2" t="s">
        <v>15</v>
      </c>
    </row>
    <row r="10" ht="22.5" customHeight="1">
      <c r="A10" s="2" t="s">
        <v>26</v>
      </c>
      <c r="B10" s="2" t="s">
        <v>31</v>
      </c>
      <c r="C10" s="2" t="s">
        <v>32</v>
      </c>
      <c r="D10" s="2" t="s">
        <v>17</v>
      </c>
      <c r="E10" s="2" t="s">
        <v>21</v>
      </c>
      <c r="F10" s="2">
        <v>-5.0</v>
      </c>
      <c r="G10" s="2" t="s">
        <v>15</v>
      </c>
    </row>
    <row r="11" ht="22.5" customHeight="1">
      <c r="A11" s="2" t="s">
        <v>33</v>
      </c>
      <c r="B11" s="2" t="s">
        <v>34</v>
      </c>
      <c r="C11" s="2" t="s">
        <v>18</v>
      </c>
      <c r="D11" s="2" t="s">
        <v>10</v>
      </c>
      <c r="E11" s="2" t="s">
        <v>35</v>
      </c>
      <c r="F11" s="2" t="s">
        <v>23</v>
      </c>
      <c r="G11" s="2" t="s">
        <v>15</v>
      </c>
    </row>
    <row r="12" ht="22.5" customHeight="1">
      <c r="A12" s="2" t="s">
        <v>33</v>
      </c>
      <c r="B12" s="2" t="s">
        <v>36</v>
      </c>
      <c r="C12" s="2" t="s">
        <v>25</v>
      </c>
      <c r="D12" s="2" t="s">
        <v>10</v>
      </c>
      <c r="E12" s="2" t="s">
        <v>28</v>
      </c>
      <c r="F12" s="2" t="s">
        <v>18</v>
      </c>
      <c r="G12" s="2" t="s">
        <v>37</v>
      </c>
    </row>
    <row r="13" ht="22.5" customHeight="1">
      <c r="A13" s="2" t="s">
        <v>33</v>
      </c>
      <c r="B13" s="2" t="s">
        <v>38</v>
      </c>
      <c r="C13" s="2" t="s">
        <v>32</v>
      </c>
      <c r="D13" s="2" t="s">
        <v>10</v>
      </c>
      <c r="E13" s="2" t="s">
        <v>35</v>
      </c>
      <c r="F13" s="2" t="s">
        <v>39</v>
      </c>
      <c r="G13" s="2" t="s">
        <v>15</v>
      </c>
    </row>
    <row r="14" ht="22.5" customHeight="1">
      <c r="A14" s="2" t="s">
        <v>40</v>
      </c>
      <c r="B14" s="2" t="s">
        <v>41</v>
      </c>
      <c r="C14" s="2" t="s">
        <v>18</v>
      </c>
      <c r="D14" s="2" t="s">
        <v>10</v>
      </c>
      <c r="E14" s="2" t="s">
        <v>28</v>
      </c>
      <c r="F14" s="2">
        <v>-5.0</v>
      </c>
      <c r="G14" s="2" t="s">
        <v>42</v>
      </c>
    </row>
    <row r="15" ht="22.5" customHeight="1">
      <c r="A15" s="2" t="s">
        <v>40</v>
      </c>
      <c r="B15" s="2" t="s">
        <v>43</v>
      </c>
      <c r="C15" s="2" t="s">
        <v>44</v>
      </c>
      <c r="D15" s="2" t="s">
        <v>17</v>
      </c>
      <c r="E15" s="2" t="s">
        <v>35</v>
      </c>
      <c r="F15" s="2" t="s">
        <v>45</v>
      </c>
      <c r="G15" s="2" t="s">
        <v>46</v>
      </c>
    </row>
    <row r="16" ht="22.5" customHeight="1">
      <c r="A16" s="2" t="s">
        <v>40</v>
      </c>
      <c r="B16" s="2" t="s">
        <v>47</v>
      </c>
      <c r="C16" s="2" t="s">
        <v>25</v>
      </c>
      <c r="D16" s="2" t="s">
        <v>10</v>
      </c>
      <c r="E16" s="2" t="s">
        <v>35</v>
      </c>
      <c r="F16" s="2">
        <v>-5.0</v>
      </c>
      <c r="G16" s="2" t="s">
        <v>48</v>
      </c>
    </row>
    <row r="17" ht="22.5" customHeight="1">
      <c r="A17" s="2" t="s">
        <v>49</v>
      </c>
      <c r="B17" s="2" t="s">
        <v>50</v>
      </c>
      <c r="C17" s="2" t="s">
        <v>51</v>
      </c>
      <c r="D17" s="2" t="s">
        <v>10</v>
      </c>
      <c r="E17" s="2" t="s">
        <v>35</v>
      </c>
      <c r="F17" s="2" t="s">
        <v>39</v>
      </c>
      <c r="G17" s="2" t="s">
        <v>52</v>
      </c>
    </row>
    <row r="18" ht="22.5" customHeight="1">
      <c r="A18" s="2" t="s">
        <v>49</v>
      </c>
      <c r="B18" s="2" t="s">
        <v>53</v>
      </c>
      <c r="C18" s="2" t="s">
        <v>32</v>
      </c>
      <c r="D18" s="2" t="s">
        <v>17</v>
      </c>
      <c r="E18" s="2" t="s">
        <v>54</v>
      </c>
      <c r="F18" s="2" t="s">
        <v>23</v>
      </c>
      <c r="G18" s="2" t="s">
        <v>55</v>
      </c>
    </row>
    <row r="19" ht="22.5" customHeight="1">
      <c r="A19" s="2" t="s">
        <v>49</v>
      </c>
      <c r="B19" s="2" t="s">
        <v>56</v>
      </c>
      <c r="C19" s="2" t="s">
        <v>57</v>
      </c>
      <c r="D19" s="2" t="s">
        <v>10</v>
      </c>
      <c r="E19" s="2" t="s">
        <v>35</v>
      </c>
      <c r="F19" s="2" t="s">
        <v>18</v>
      </c>
      <c r="G19" s="2" t="s">
        <v>58</v>
      </c>
    </row>
    <row r="20" ht="22.5" customHeight="1">
      <c r="A20" s="2" t="s">
        <v>59</v>
      </c>
      <c r="B20" s="2" t="s">
        <v>60</v>
      </c>
      <c r="C20" s="2" t="s">
        <v>61</v>
      </c>
      <c r="D20" s="2" t="s">
        <v>10</v>
      </c>
      <c r="E20" s="2" t="s">
        <v>54</v>
      </c>
      <c r="F20" s="2" t="s">
        <v>62</v>
      </c>
      <c r="G20" s="2" t="s">
        <v>63</v>
      </c>
    </row>
    <row r="21" ht="22.5" customHeight="1">
      <c r="A21" s="2" t="s">
        <v>59</v>
      </c>
      <c r="B21" s="2" t="s">
        <v>64</v>
      </c>
      <c r="C21" s="2" t="s">
        <v>39</v>
      </c>
      <c r="D21" s="2" t="s">
        <v>10</v>
      </c>
      <c r="E21" s="2" t="s">
        <v>54</v>
      </c>
      <c r="F21" s="2" t="s">
        <v>30</v>
      </c>
      <c r="G21" s="2" t="s">
        <v>65</v>
      </c>
    </row>
    <row r="22" ht="22.5" customHeight="1">
      <c r="A22" s="2" t="s">
        <v>59</v>
      </c>
      <c r="B22" s="2" t="s">
        <v>66</v>
      </c>
      <c r="C22" s="2" t="s">
        <v>32</v>
      </c>
      <c r="D22" s="2" t="s">
        <v>10</v>
      </c>
      <c r="E22" s="2" t="s">
        <v>54</v>
      </c>
      <c r="F22" s="2" t="s">
        <v>23</v>
      </c>
      <c r="G22" s="2" t="s">
        <v>55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  <col customWidth="1" min="7" max="7" width="30.88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22.5" customHeight="1">
      <c r="A2" s="4" t="s">
        <v>7</v>
      </c>
      <c r="B2" s="4" t="s">
        <v>67</v>
      </c>
      <c r="C2" s="5">
        <f t="shared" ref="C2:C3" si="1">+1</f>
        <v>1</v>
      </c>
      <c r="D2" s="4" t="s">
        <v>17</v>
      </c>
      <c r="E2" s="4" t="s">
        <v>11</v>
      </c>
      <c r="F2" s="4">
        <v>-5.0</v>
      </c>
      <c r="G2" s="4" t="s">
        <v>12</v>
      </c>
    </row>
    <row r="3" ht="22.5" customHeight="1">
      <c r="A3" s="4" t="s">
        <v>7</v>
      </c>
      <c r="B3" s="4" t="s">
        <v>68</v>
      </c>
      <c r="C3" s="5">
        <f t="shared" si="1"/>
        <v>1</v>
      </c>
      <c r="D3" s="4" t="s">
        <v>10</v>
      </c>
      <c r="E3" s="4" t="s">
        <v>11</v>
      </c>
      <c r="F3" s="5">
        <f>+0</f>
        <v>0</v>
      </c>
      <c r="G3" s="4" t="s">
        <v>15</v>
      </c>
    </row>
    <row r="4" ht="22.5" customHeight="1">
      <c r="A4" s="4" t="s">
        <v>7</v>
      </c>
      <c r="B4" s="4" t="s">
        <v>69</v>
      </c>
      <c r="C4" s="5">
        <f>+0</f>
        <v>0</v>
      </c>
      <c r="D4" s="4" t="s">
        <v>10</v>
      </c>
      <c r="E4" s="4" t="s">
        <v>11</v>
      </c>
      <c r="F4" s="5">
        <f>+5</f>
        <v>5</v>
      </c>
      <c r="G4" s="4" t="s">
        <v>12</v>
      </c>
    </row>
    <row r="5" ht="22.5" customHeight="1">
      <c r="A5" s="4" t="s">
        <v>19</v>
      </c>
      <c r="B5" s="4" t="s">
        <v>70</v>
      </c>
      <c r="C5" s="5">
        <f>+2</f>
        <v>2</v>
      </c>
      <c r="D5" s="4" t="s">
        <v>17</v>
      </c>
      <c r="E5" s="4" t="s">
        <v>11</v>
      </c>
      <c r="F5" s="5">
        <f>+10</f>
        <v>10</v>
      </c>
      <c r="G5" s="4" t="s">
        <v>15</v>
      </c>
    </row>
    <row r="6" ht="22.5" customHeight="1">
      <c r="A6" s="4" t="s">
        <v>19</v>
      </c>
      <c r="B6" s="4" t="s">
        <v>71</v>
      </c>
      <c r="C6" s="5">
        <f>+3</f>
        <v>3</v>
      </c>
      <c r="D6" s="4" t="s">
        <v>17</v>
      </c>
      <c r="E6" s="4" t="s">
        <v>21</v>
      </c>
      <c r="F6" s="5">
        <f>+5</f>
        <v>5</v>
      </c>
      <c r="G6" s="4" t="s">
        <v>15</v>
      </c>
    </row>
    <row r="7" ht="22.5" customHeight="1">
      <c r="A7" s="4" t="s">
        <v>19</v>
      </c>
      <c r="B7" s="4" t="s">
        <v>72</v>
      </c>
      <c r="C7" s="5">
        <f>+2</f>
        <v>2</v>
      </c>
      <c r="D7" s="4" t="s">
        <v>10</v>
      </c>
      <c r="E7" s="4" t="s">
        <v>21</v>
      </c>
      <c r="F7" s="4">
        <v>-10.0</v>
      </c>
      <c r="G7" s="4" t="s">
        <v>15</v>
      </c>
    </row>
    <row r="8" ht="22.5" customHeight="1">
      <c r="A8" s="4" t="s">
        <v>26</v>
      </c>
      <c r="B8" s="4" t="s">
        <v>73</v>
      </c>
      <c r="C8" s="5">
        <f>+4</f>
        <v>4</v>
      </c>
      <c r="D8" s="4" t="s">
        <v>17</v>
      </c>
      <c r="E8" s="4" t="s">
        <v>21</v>
      </c>
      <c r="F8" s="5">
        <f>+20</f>
        <v>20</v>
      </c>
      <c r="G8" s="4" t="s">
        <v>15</v>
      </c>
    </row>
    <row r="9" ht="22.5" customHeight="1">
      <c r="A9" s="4" t="s">
        <v>26</v>
      </c>
      <c r="B9" s="4" t="s">
        <v>74</v>
      </c>
      <c r="C9" s="5">
        <f t="shared" ref="C9:C10" si="2">+3</f>
        <v>3</v>
      </c>
      <c r="D9" s="4" t="s">
        <v>10</v>
      </c>
      <c r="E9" s="4" t="s">
        <v>11</v>
      </c>
      <c r="F9" s="4">
        <v>-5.0</v>
      </c>
      <c r="G9" s="4" t="s">
        <v>15</v>
      </c>
    </row>
    <row r="10" ht="22.5" customHeight="1">
      <c r="A10" s="4" t="s">
        <v>26</v>
      </c>
      <c r="B10" s="4" t="s">
        <v>75</v>
      </c>
      <c r="C10" s="5">
        <f t="shared" si="2"/>
        <v>3</v>
      </c>
      <c r="D10" s="4" t="s">
        <v>17</v>
      </c>
      <c r="E10" s="4" t="s">
        <v>28</v>
      </c>
      <c r="F10" s="5">
        <f>+30</f>
        <v>30</v>
      </c>
      <c r="G10" s="4" t="s">
        <v>15</v>
      </c>
    </row>
    <row r="11" ht="22.5" customHeight="1">
      <c r="A11" s="4" t="s">
        <v>33</v>
      </c>
      <c r="B11" s="4" t="s">
        <v>76</v>
      </c>
      <c r="C11" s="5">
        <f>+6</f>
        <v>6</v>
      </c>
      <c r="D11" s="4" t="s">
        <v>17</v>
      </c>
      <c r="E11" s="4" t="s">
        <v>28</v>
      </c>
      <c r="F11" s="5">
        <f>+35</f>
        <v>35</v>
      </c>
      <c r="G11" s="4" t="s">
        <v>15</v>
      </c>
    </row>
    <row r="12" ht="22.5" customHeight="1">
      <c r="A12" s="4" t="s">
        <v>33</v>
      </c>
      <c r="B12" s="4" t="s">
        <v>77</v>
      </c>
      <c r="C12" s="5">
        <f>+5</f>
        <v>5</v>
      </c>
      <c r="D12" s="4" t="s">
        <v>10</v>
      </c>
      <c r="E12" s="4" t="s">
        <v>21</v>
      </c>
      <c r="F12" s="5">
        <f>+10</f>
        <v>10</v>
      </c>
      <c r="G12" s="4" t="s">
        <v>15</v>
      </c>
    </row>
    <row r="13" ht="22.5" customHeight="1">
      <c r="A13" s="4" t="s">
        <v>33</v>
      </c>
      <c r="B13" s="4" t="s">
        <v>78</v>
      </c>
      <c r="C13" s="5">
        <f>+7</f>
        <v>7</v>
      </c>
      <c r="D13" s="4" t="s">
        <v>17</v>
      </c>
      <c r="E13" s="4" t="s">
        <v>28</v>
      </c>
      <c r="F13" s="4">
        <v>-10.0</v>
      </c>
      <c r="G13" s="4" t="s">
        <v>46</v>
      </c>
    </row>
    <row r="14" ht="22.5" customHeight="1">
      <c r="A14" s="4" t="s">
        <v>40</v>
      </c>
      <c r="B14" s="4" t="s">
        <v>79</v>
      </c>
      <c r="C14" s="5">
        <f>+8</f>
        <v>8</v>
      </c>
      <c r="D14" s="4" t="s">
        <v>17</v>
      </c>
      <c r="E14" s="4" t="s">
        <v>35</v>
      </c>
      <c r="F14" s="5">
        <f>+40</f>
        <v>40</v>
      </c>
      <c r="G14" s="4" t="s">
        <v>15</v>
      </c>
    </row>
    <row r="15" ht="22.5" customHeight="1">
      <c r="A15" s="4" t="s">
        <v>40</v>
      </c>
      <c r="B15" s="4" t="s">
        <v>80</v>
      </c>
      <c r="C15" s="5">
        <f>+6</f>
        <v>6</v>
      </c>
      <c r="D15" s="4" t="s">
        <v>10</v>
      </c>
      <c r="E15" s="4" t="s">
        <v>35</v>
      </c>
      <c r="F15" s="5">
        <f>+0</f>
        <v>0</v>
      </c>
      <c r="G15" s="4" t="s">
        <v>81</v>
      </c>
    </row>
    <row r="16" ht="22.5" customHeight="1">
      <c r="A16" s="4" t="s">
        <v>40</v>
      </c>
      <c r="B16" s="4" t="s">
        <v>82</v>
      </c>
      <c r="C16" s="5">
        <f>+7</f>
        <v>7</v>
      </c>
      <c r="D16" s="4" t="s">
        <v>10</v>
      </c>
      <c r="E16" s="4" t="s">
        <v>35</v>
      </c>
      <c r="F16" s="5">
        <f>+20</f>
        <v>20</v>
      </c>
      <c r="G16" s="4" t="s">
        <v>15</v>
      </c>
    </row>
    <row r="17" ht="22.5" customHeight="1">
      <c r="A17" s="4" t="s">
        <v>49</v>
      </c>
      <c r="B17" s="4" t="s">
        <v>83</v>
      </c>
      <c r="C17" s="4">
        <v>5.0</v>
      </c>
      <c r="D17" s="4" t="s">
        <v>17</v>
      </c>
      <c r="E17" s="4" t="s">
        <v>54</v>
      </c>
      <c r="F17" s="4">
        <v>0.0</v>
      </c>
      <c r="G17" s="4" t="s">
        <v>55</v>
      </c>
    </row>
    <row r="18" ht="22.5" customHeight="1">
      <c r="A18" s="4" t="s">
        <v>49</v>
      </c>
      <c r="B18" s="4" t="s">
        <v>84</v>
      </c>
      <c r="C18" s="5">
        <f>+10</f>
        <v>10</v>
      </c>
      <c r="D18" s="4" t="s">
        <v>10</v>
      </c>
      <c r="E18" s="4" t="s">
        <v>35</v>
      </c>
      <c r="F18" s="5">
        <f>+25</f>
        <v>25</v>
      </c>
      <c r="G18" s="4" t="s">
        <v>85</v>
      </c>
    </row>
    <row r="19" ht="22.5" customHeight="1">
      <c r="A19" s="4" t="s">
        <v>49</v>
      </c>
      <c r="B19" s="4" t="s">
        <v>86</v>
      </c>
      <c r="C19" s="5">
        <f>+14</f>
        <v>14</v>
      </c>
      <c r="D19" s="4" t="s">
        <v>17</v>
      </c>
      <c r="E19" s="4" t="s">
        <v>54</v>
      </c>
      <c r="F19" s="5">
        <f>+50</f>
        <v>50</v>
      </c>
      <c r="G19" s="4" t="s">
        <v>87</v>
      </c>
    </row>
    <row r="20" ht="22.5" customHeight="1">
      <c r="A20" s="4" t="s">
        <v>59</v>
      </c>
      <c r="B20" s="4" t="s">
        <v>88</v>
      </c>
      <c r="C20" s="5">
        <f>+18</f>
        <v>18</v>
      </c>
      <c r="D20" s="4" t="s">
        <v>10</v>
      </c>
      <c r="E20" s="4" t="s">
        <v>54</v>
      </c>
      <c r="F20" s="5">
        <f>+45</f>
        <v>45</v>
      </c>
      <c r="G20" s="4" t="s">
        <v>89</v>
      </c>
    </row>
    <row r="21" ht="22.5" customHeight="1">
      <c r="A21" s="4" t="s">
        <v>59</v>
      </c>
      <c r="B21" s="4" t="s">
        <v>90</v>
      </c>
      <c r="C21" s="5">
        <f>+15</f>
        <v>15</v>
      </c>
      <c r="D21" s="4" t="s">
        <v>17</v>
      </c>
      <c r="E21" s="4" t="s">
        <v>54</v>
      </c>
      <c r="F21" s="5">
        <f>+60</f>
        <v>60</v>
      </c>
      <c r="G21" s="4" t="s">
        <v>91</v>
      </c>
    </row>
    <row r="22" ht="22.5" customHeight="1">
      <c r="A22" s="4" t="s">
        <v>59</v>
      </c>
      <c r="B22" s="4" t="s">
        <v>92</v>
      </c>
      <c r="C22" s="4">
        <v>10.0</v>
      </c>
      <c r="D22" s="4" t="s">
        <v>10</v>
      </c>
      <c r="E22" s="4" t="s">
        <v>54</v>
      </c>
      <c r="F22" s="4">
        <v>30.0</v>
      </c>
      <c r="G22" s="4" t="s">
        <v>55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  <col customWidth="1" min="7" max="7" width="30.88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22.5" customHeight="1">
      <c r="A2" s="4" t="s">
        <v>7</v>
      </c>
      <c r="B2" s="4" t="s">
        <v>93</v>
      </c>
      <c r="C2" s="5">
        <f>+1</f>
        <v>1</v>
      </c>
      <c r="D2" s="4" t="s">
        <v>10</v>
      </c>
      <c r="E2" s="4" t="s">
        <v>11</v>
      </c>
      <c r="F2" s="4">
        <v>-10.0</v>
      </c>
      <c r="G2" s="4" t="s">
        <v>12</v>
      </c>
    </row>
    <row r="3" ht="22.5" customHeight="1">
      <c r="A3" s="4" t="s">
        <v>7</v>
      </c>
      <c r="B3" s="4" t="s">
        <v>94</v>
      </c>
      <c r="C3" s="4">
        <v>-2.0</v>
      </c>
      <c r="D3" s="4" t="s">
        <v>10</v>
      </c>
      <c r="E3" s="4" t="s">
        <v>11</v>
      </c>
      <c r="F3" s="4">
        <v>-5.0</v>
      </c>
      <c r="G3" s="4" t="s">
        <v>15</v>
      </c>
    </row>
    <row r="4" ht="22.5" customHeight="1">
      <c r="A4" s="4" t="s">
        <v>7</v>
      </c>
      <c r="B4" s="4" t="s">
        <v>95</v>
      </c>
      <c r="C4" s="5">
        <f>+1</f>
        <v>1</v>
      </c>
      <c r="D4" s="4" t="s">
        <v>17</v>
      </c>
      <c r="E4" s="4" t="s">
        <v>11</v>
      </c>
      <c r="F4" s="5">
        <f>+5</f>
        <v>5</v>
      </c>
      <c r="G4" s="4" t="s">
        <v>15</v>
      </c>
    </row>
    <row r="5" ht="22.5" customHeight="1">
      <c r="A5" s="4" t="s">
        <v>19</v>
      </c>
      <c r="B5" s="4" t="s">
        <v>96</v>
      </c>
      <c r="C5" s="5">
        <f>+2</f>
        <v>2</v>
      </c>
      <c r="D5" s="4" t="s">
        <v>10</v>
      </c>
      <c r="E5" s="4" t="s">
        <v>21</v>
      </c>
      <c r="F5" s="5">
        <f>+0</f>
        <v>0</v>
      </c>
      <c r="G5" s="4" t="s">
        <v>15</v>
      </c>
    </row>
    <row r="6" ht="22.5" customHeight="1">
      <c r="A6" s="4" t="s">
        <v>19</v>
      </c>
      <c r="B6" s="4" t="s">
        <v>97</v>
      </c>
      <c r="C6" s="5">
        <f>+1</f>
        <v>1</v>
      </c>
      <c r="D6" s="4" t="s">
        <v>10</v>
      </c>
      <c r="E6" s="4" t="s">
        <v>11</v>
      </c>
      <c r="F6" s="5">
        <f>+10</f>
        <v>10</v>
      </c>
      <c r="G6" s="4" t="s">
        <v>15</v>
      </c>
    </row>
    <row r="7" ht="22.5" customHeight="1">
      <c r="A7" s="4" t="s">
        <v>19</v>
      </c>
      <c r="B7" s="4" t="s">
        <v>98</v>
      </c>
      <c r="C7" s="5">
        <f>+2</f>
        <v>2</v>
      </c>
      <c r="D7" s="4" t="s">
        <v>10</v>
      </c>
      <c r="E7" s="4" t="s">
        <v>21</v>
      </c>
      <c r="F7" s="5">
        <f>+5</f>
        <v>5</v>
      </c>
      <c r="G7" s="4" t="s">
        <v>15</v>
      </c>
    </row>
    <row r="8" ht="22.5" customHeight="1">
      <c r="A8" s="4" t="s">
        <v>26</v>
      </c>
      <c r="B8" s="4" t="s">
        <v>99</v>
      </c>
      <c r="C8" s="5">
        <f>+4</f>
        <v>4</v>
      </c>
      <c r="D8" s="4" t="s">
        <v>10</v>
      </c>
      <c r="E8" s="4" t="s">
        <v>21</v>
      </c>
      <c r="F8" s="5">
        <f>+10</f>
        <v>10</v>
      </c>
      <c r="G8" s="4" t="s">
        <v>15</v>
      </c>
    </row>
    <row r="9" ht="22.5" customHeight="1">
      <c r="A9" s="4" t="s">
        <v>26</v>
      </c>
      <c r="B9" s="4" t="s">
        <v>100</v>
      </c>
      <c r="C9" s="4">
        <v>1.0</v>
      </c>
      <c r="D9" s="4" t="s">
        <v>10</v>
      </c>
      <c r="E9" s="4" t="s">
        <v>28</v>
      </c>
      <c r="F9" s="4">
        <v>0.0</v>
      </c>
      <c r="G9" s="4" t="s">
        <v>101</v>
      </c>
    </row>
    <row r="10" ht="22.5" customHeight="1">
      <c r="A10" s="4" t="s">
        <v>26</v>
      </c>
      <c r="B10" s="4" t="s">
        <v>102</v>
      </c>
      <c r="C10" s="4">
        <v>-2.0</v>
      </c>
      <c r="D10" s="4" t="s">
        <v>17</v>
      </c>
      <c r="E10" s="4" t="s">
        <v>28</v>
      </c>
      <c r="F10" s="5">
        <f>+25</f>
        <v>25</v>
      </c>
      <c r="G10" s="4" t="s">
        <v>15</v>
      </c>
    </row>
    <row r="11" ht="22.5" customHeight="1">
      <c r="A11" s="4" t="s">
        <v>33</v>
      </c>
      <c r="B11" s="4" t="s">
        <v>103</v>
      </c>
      <c r="C11" s="5">
        <f>+5</f>
        <v>5</v>
      </c>
      <c r="D11" s="4" t="s">
        <v>10</v>
      </c>
      <c r="E11" s="4" t="s">
        <v>28</v>
      </c>
      <c r="F11" s="5">
        <f>+15</f>
        <v>15</v>
      </c>
      <c r="G11" s="4" t="s">
        <v>15</v>
      </c>
    </row>
    <row r="12" ht="22.5" customHeight="1">
      <c r="A12" s="4" t="s">
        <v>33</v>
      </c>
      <c r="B12" s="4" t="s">
        <v>104</v>
      </c>
      <c r="C12" s="5">
        <f>+4</f>
        <v>4</v>
      </c>
      <c r="D12" s="4" t="s">
        <v>10</v>
      </c>
      <c r="E12" s="4" t="s">
        <v>28</v>
      </c>
      <c r="F12" s="5">
        <f>+20</f>
        <v>20</v>
      </c>
      <c r="G12" s="4" t="s">
        <v>15</v>
      </c>
    </row>
    <row r="13" ht="22.5" customHeight="1">
      <c r="A13" s="4" t="s">
        <v>33</v>
      </c>
      <c r="B13" s="4" t="s">
        <v>105</v>
      </c>
      <c r="C13" s="5">
        <f t="shared" ref="C13:C14" si="1">+6</f>
        <v>6</v>
      </c>
      <c r="D13" s="4" t="s">
        <v>10</v>
      </c>
      <c r="E13" s="4" t="s">
        <v>35</v>
      </c>
      <c r="F13" s="5">
        <f>+5</f>
        <v>5</v>
      </c>
      <c r="G13" s="4" t="s">
        <v>46</v>
      </c>
    </row>
    <row r="14" ht="22.5" customHeight="1">
      <c r="A14" s="4" t="s">
        <v>40</v>
      </c>
      <c r="B14" s="4" t="s">
        <v>106</v>
      </c>
      <c r="C14" s="5">
        <f t="shared" si="1"/>
        <v>6</v>
      </c>
      <c r="D14" s="4" t="s">
        <v>10</v>
      </c>
      <c r="E14" s="4" t="s">
        <v>35</v>
      </c>
      <c r="F14" s="5">
        <f>+10</f>
        <v>10</v>
      </c>
      <c r="G14" s="4" t="s">
        <v>101</v>
      </c>
    </row>
    <row r="15" ht="22.5" customHeight="1">
      <c r="A15" s="4" t="s">
        <v>40</v>
      </c>
      <c r="B15" s="4" t="s">
        <v>107</v>
      </c>
      <c r="C15" s="5">
        <f>+7</f>
        <v>7</v>
      </c>
      <c r="D15" s="4" t="s">
        <v>10</v>
      </c>
      <c r="E15" s="4" t="s">
        <v>28</v>
      </c>
      <c r="F15" s="5">
        <f>+15</f>
        <v>15</v>
      </c>
      <c r="G15" s="4" t="s">
        <v>85</v>
      </c>
    </row>
    <row r="16" ht="22.5" customHeight="1">
      <c r="A16" s="4" t="s">
        <v>40</v>
      </c>
      <c r="B16" s="4" t="s">
        <v>108</v>
      </c>
      <c r="C16" s="5">
        <f>+6</f>
        <v>6</v>
      </c>
      <c r="D16" s="4" t="s">
        <v>10</v>
      </c>
      <c r="E16" s="4" t="s">
        <v>35</v>
      </c>
      <c r="F16" s="5">
        <f>+25</f>
        <v>25</v>
      </c>
      <c r="G16" s="4" t="s">
        <v>109</v>
      </c>
    </row>
    <row r="17" ht="22.5" customHeight="1">
      <c r="A17" s="4" t="s">
        <v>49</v>
      </c>
      <c r="B17" s="4" t="s">
        <v>110</v>
      </c>
      <c r="C17" s="5">
        <f>+12</f>
        <v>12</v>
      </c>
      <c r="D17" s="4" t="s">
        <v>17</v>
      </c>
      <c r="E17" s="4" t="s">
        <v>35</v>
      </c>
      <c r="F17" s="5">
        <f>+40</f>
        <v>40</v>
      </c>
      <c r="G17" s="4" t="s">
        <v>81</v>
      </c>
    </row>
    <row r="18" ht="22.5" customHeight="1">
      <c r="A18" s="4" t="s">
        <v>49</v>
      </c>
      <c r="B18" s="4" t="s">
        <v>111</v>
      </c>
      <c r="C18" s="4">
        <v>0.0</v>
      </c>
      <c r="D18" s="4" t="s">
        <v>10</v>
      </c>
      <c r="E18" s="4" t="s">
        <v>54</v>
      </c>
      <c r="F18" s="4">
        <v>0.0</v>
      </c>
      <c r="G18" s="4" t="s">
        <v>112</v>
      </c>
    </row>
    <row r="19" ht="22.5" customHeight="1">
      <c r="A19" s="4" t="s">
        <v>49</v>
      </c>
      <c r="B19" s="4" t="s">
        <v>113</v>
      </c>
      <c r="C19" s="5">
        <f>+11</f>
        <v>11</v>
      </c>
      <c r="D19" s="4" t="s">
        <v>10</v>
      </c>
      <c r="E19" s="4" t="s">
        <v>54</v>
      </c>
      <c r="F19" s="5">
        <f>+20</f>
        <v>20</v>
      </c>
      <c r="G19" s="4" t="s">
        <v>55</v>
      </c>
    </row>
    <row r="20" ht="22.5" customHeight="1">
      <c r="A20" s="4" t="s">
        <v>59</v>
      </c>
      <c r="B20" s="4" t="s">
        <v>114</v>
      </c>
      <c r="C20" s="5">
        <f>+15</f>
        <v>15</v>
      </c>
      <c r="D20" s="4" t="s">
        <v>17</v>
      </c>
      <c r="E20" s="4" t="s">
        <v>54</v>
      </c>
      <c r="F20" s="5">
        <f>+50</f>
        <v>50</v>
      </c>
      <c r="G20" s="4" t="s">
        <v>63</v>
      </c>
    </row>
    <row r="21" ht="22.5" customHeight="1">
      <c r="A21" s="4" t="s">
        <v>59</v>
      </c>
      <c r="B21" s="4" t="s">
        <v>115</v>
      </c>
      <c r="C21" s="5">
        <f>+20</f>
        <v>20</v>
      </c>
      <c r="D21" s="4" t="s">
        <v>10</v>
      </c>
      <c r="E21" s="4" t="s">
        <v>54</v>
      </c>
      <c r="F21" s="5">
        <f>+30</f>
        <v>30</v>
      </c>
      <c r="G21" s="4" t="s">
        <v>55</v>
      </c>
    </row>
    <row r="22" ht="22.5" customHeight="1">
      <c r="A22" s="4" t="s">
        <v>59</v>
      </c>
      <c r="B22" s="4" t="s">
        <v>116</v>
      </c>
      <c r="C22" s="4">
        <v>5.0</v>
      </c>
      <c r="D22" s="4" t="s">
        <v>10</v>
      </c>
      <c r="E22" s="4" t="s">
        <v>54</v>
      </c>
      <c r="F22" s="5">
        <f>+20</f>
        <v>20</v>
      </c>
      <c r="G22" s="4" t="s">
        <v>65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  <col customWidth="1" min="7" max="7" width="33.63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22.5" customHeight="1">
      <c r="A2" s="4" t="s">
        <v>7</v>
      </c>
      <c r="B2" s="4" t="s">
        <v>117</v>
      </c>
      <c r="C2" s="5">
        <f>+2</f>
        <v>2</v>
      </c>
      <c r="D2" s="4" t="s">
        <v>10</v>
      </c>
      <c r="E2" s="4" t="s">
        <v>11</v>
      </c>
      <c r="F2" s="4">
        <v>-15.0</v>
      </c>
      <c r="G2" s="4" t="s">
        <v>118</v>
      </c>
    </row>
    <row r="3" ht="22.5" customHeight="1">
      <c r="A3" s="4" t="s">
        <v>7</v>
      </c>
      <c r="B3" s="4" t="s">
        <v>119</v>
      </c>
      <c r="C3" s="4">
        <v>0.0</v>
      </c>
      <c r="D3" s="4" t="s">
        <v>10</v>
      </c>
      <c r="E3" s="4" t="s">
        <v>11</v>
      </c>
      <c r="F3" s="4">
        <v>-5.0</v>
      </c>
      <c r="G3" s="4" t="s">
        <v>120</v>
      </c>
    </row>
    <row r="4" ht="22.5" customHeight="1">
      <c r="A4" s="4" t="s">
        <v>7</v>
      </c>
      <c r="B4" s="4" t="s">
        <v>121</v>
      </c>
      <c r="C4" s="5">
        <f>+2</f>
        <v>2</v>
      </c>
      <c r="D4" s="4" t="s">
        <v>10</v>
      </c>
      <c r="E4" s="4" t="s">
        <v>11</v>
      </c>
      <c r="F4" s="4">
        <v>10.0</v>
      </c>
      <c r="G4" s="4" t="s">
        <v>15</v>
      </c>
    </row>
    <row r="5" ht="22.5" customHeight="1">
      <c r="A5" s="4" t="s">
        <v>19</v>
      </c>
      <c r="B5" s="4" t="s">
        <v>122</v>
      </c>
      <c r="C5" s="5">
        <f>+4</f>
        <v>4</v>
      </c>
      <c r="D5" s="4" t="s">
        <v>17</v>
      </c>
      <c r="E5" s="4" t="s">
        <v>11</v>
      </c>
      <c r="F5" s="5">
        <f>+5</f>
        <v>5</v>
      </c>
      <c r="G5" s="4" t="s">
        <v>123</v>
      </c>
    </row>
    <row r="6" ht="22.5" customHeight="1">
      <c r="A6" s="4" t="s">
        <v>19</v>
      </c>
      <c r="B6" s="4" t="s">
        <v>124</v>
      </c>
      <c r="C6" s="4">
        <v>1.0</v>
      </c>
      <c r="D6" s="4" t="s">
        <v>17</v>
      </c>
      <c r="E6" s="4" t="s">
        <v>21</v>
      </c>
      <c r="F6" s="4">
        <v>30.0</v>
      </c>
      <c r="G6" s="4" t="s">
        <v>15</v>
      </c>
    </row>
    <row r="7" ht="22.5" customHeight="1">
      <c r="A7" s="4" t="s">
        <v>19</v>
      </c>
      <c r="B7" s="4" t="s">
        <v>125</v>
      </c>
      <c r="C7" s="4">
        <v>0.0</v>
      </c>
      <c r="D7" s="4" t="s">
        <v>10</v>
      </c>
      <c r="E7" s="4" t="s">
        <v>28</v>
      </c>
      <c r="F7" s="4">
        <v>0.0</v>
      </c>
      <c r="G7" s="4" t="s">
        <v>126</v>
      </c>
    </row>
    <row r="8" ht="22.5" customHeight="1">
      <c r="A8" s="4" t="s">
        <v>26</v>
      </c>
      <c r="B8" s="4" t="s">
        <v>127</v>
      </c>
      <c r="C8" s="5">
        <f>+6</f>
        <v>6</v>
      </c>
      <c r="D8" s="4" t="s">
        <v>17</v>
      </c>
      <c r="E8" s="4" t="s">
        <v>28</v>
      </c>
      <c r="F8" s="5">
        <f>+20</f>
        <v>20</v>
      </c>
      <c r="G8" s="4" t="s">
        <v>15</v>
      </c>
    </row>
    <row r="9" ht="22.5" customHeight="1">
      <c r="A9" s="4" t="s">
        <v>26</v>
      </c>
      <c r="B9" s="4" t="s">
        <v>128</v>
      </c>
      <c r="C9" s="5">
        <f>+7</f>
        <v>7</v>
      </c>
      <c r="D9" s="4" t="s">
        <v>10</v>
      </c>
      <c r="E9" s="4" t="s">
        <v>28</v>
      </c>
      <c r="F9" s="5">
        <f>+10</f>
        <v>10</v>
      </c>
      <c r="G9" s="4" t="s">
        <v>129</v>
      </c>
    </row>
    <row r="10" ht="22.5" customHeight="1">
      <c r="A10" s="4" t="s">
        <v>26</v>
      </c>
      <c r="B10" s="4" t="s">
        <v>130</v>
      </c>
      <c r="C10" s="4">
        <v>2.0</v>
      </c>
      <c r="D10" s="4" t="s">
        <v>10</v>
      </c>
      <c r="E10" s="4" t="s">
        <v>28</v>
      </c>
      <c r="F10" s="5">
        <f>+15</f>
        <v>15</v>
      </c>
      <c r="G10" s="4" t="s">
        <v>131</v>
      </c>
    </row>
    <row r="11" ht="22.5" customHeight="1">
      <c r="A11" s="4" t="s">
        <v>33</v>
      </c>
      <c r="B11" s="4" t="s">
        <v>132</v>
      </c>
      <c r="C11" s="4">
        <v>5.0</v>
      </c>
      <c r="D11" s="4" t="s">
        <v>10</v>
      </c>
      <c r="E11" s="4" t="s">
        <v>35</v>
      </c>
      <c r="F11" s="5">
        <f>+20</f>
        <v>20</v>
      </c>
      <c r="G11" s="4" t="s">
        <v>15</v>
      </c>
    </row>
    <row r="12" ht="22.5" customHeight="1">
      <c r="A12" s="4" t="s">
        <v>33</v>
      </c>
      <c r="B12" s="4" t="s">
        <v>133</v>
      </c>
      <c r="C12" s="5">
        <f>+9</f>
        <v>9</v>
      </c>
      <c r="D12" s="4" t="s">
        <v>17</v>
      </c>
      <c r="E12" s="4" t="s">
        <v>28</v>
      </c>
      <c r="F12" s="5">
        <f>+30</f>
        <v>30</v>
      </c>
      <c r="G12" s="4" t="s">
        <v>15</v>
      </c>
    </row>
    <row r="13" ht="22.5" customHeight="1">
      <c r="A13" s="4" t="s">
        <v>33</v>
      </c>
      <c r="B13" s="4" t="s">
        <v>134</v>
      </c>
      <c r="C13" s="5">
        <f>+7</f>
        <v>7</v>
      </c>
      <c r="D13" s="4" t="s">
        <v>17</v>
      </c>
      <c r="E13" s="4" t="s">
        <v>35</v>
      </c>
      <c r="F13" s="5">
        <f>+5</f>
        <v>5</v>
      </c>
      <c r="G13" s="4" t="s">
        <v>135</v>
      </c>
    </row>
    <row r="14" ht="22.5" customHeight="1">
      <c r="A14" s="4" t="s">
        <v>40</v>
      </c>
      <c r="B14" s="4" t="s">
        <v>136</v>
      </c>
      <c r="C14" s="4">
        <v>8.0</v>
      </c>
      <c r="D14" s="4" t="s">
        <v>17</v>
      </c>
      <c r="E14" s="4" t="s">
        <v>35</v>
      </c>
      <c r="F14" s="4">
        <v>10.0</v>
      </c>
      <c r="G14" s="2" t="s">
        <v>48</v>
      </c>
    </row>
    <row r="15" ht="22.5" customHeight="1">
      <c r="A15" s="4" t="s">
        <v>40</v>
      </c>
      <c r="B15" s="4" t="s">
        <v>137</v>
      </c>
      <c r="C15" s="5">
        <f>+9</f>
        <v>9</v>
      </c>
      <c r="D15" s="4" t="s">
        <v>10</v>
      </c>
      <c r="E15" s="4" t="s">
        <v>35</v>
      </c>
      <c r="F15" s="5">
        <f>+10</f>
        <v>10</v>
      </c>
      <c r="G15" s="4" t="s">
        <v>58</v>
      </c>
    </row>
    <row r="16" ht="22.5" customHeight="1">
      <c r="A16" s="4" t="s">
        <v>40</v>
      </c>
      <c r="B16" s="4" t="s">
        <v>138</v>
      </c>
      <c r="C16" s="4">
        <v>2.0</v>
      </c>
      <c r="D16" s="4" t="s">
        <v>10</v>
      </c>
      <c r="E16" s="4" t="s">
        <v>28</v>
      </c>
      <c r="F16" s="4">
        <v>-5.0</v>
      </c>
      <c r="G16" s="4" t="s">
        <v>139</v>
      </c>
    </row>
    <row r="17" ht="22.5" customHeight="1">
      <c r="A17" s="4" t="s">
        <v>49</v>
      </c>
      <c r="B17" s="4" t="s">
        <v>140</v>
      </c>
      <c r="C17" s="5">
        <f>+15</f>
        <v>15</v>
      </c>
      <c r="D17" s="4" t="s">
        <v>17</v>
      </c>
      <c r="E17" s="4" t="s">
        <v>54</v>
      </c>
      <c r="F17" s="5">
        <f>+45</f>
        <v>45</v>
      </c>
      <c r="G17" s="4" t="s">
        <v>141</v>
      </c>
    </row>
    <row r="18" ht="22.5" customHeight="1">
      <c r="A18" s="4" t="s">
        <v>49</v>
      </c>
      <c r="B18" s="4" t="s">
        <v>142</v>
      </c>
      <c r="C18" s="5">
        <f>+16</f>
        <v>16</v>
      </c>
      <c r="D18" s="4" t="s">
        <v>10</v>
      </c>
      <c r="E18" s="4" t="s">
        <v>54</v>
      </c>
      <c r="F18" s="5">
        <f>+0</f>
        <v>0</v>
      </c>
      <c r="G18" s="4" t="s">
        <v>143</v>
      </c>
    </row>
    <row r="19" ht="22.5" customHeight="1">
      <c r="A19" s="4" t="s">
        <v>49</v>
      </c>
      <c r="B19" s="4" t="s">
        <v>144</v>
      </c>
      <c r="C19" s="5">
        <f>+14</f>
        <v>14</v>
      </c>
      <c r="D19" s="4" t="s">
        <v>10</v>
      </c>
      <c r="E19" s="4" t="s">
        <v>35</v>
      </c>
      <c r="F19" s="5">
        <f>+20</f>
        <v>20</v>
      </c>
      <c r="G19" s="4" t="s">
        <v>85</v>
      </c>
    </row>
    <row r="20" ht="22.5" customHeight="1">
      <c r="A20" s="4" t="s">
        <v>59</v>
      </c>
      <c r="B20" s="4" t="s">
        <v>145</v>
      </c>
      <c r="C20" s="5">
        <f t="shared" ref="C20:C21" si="1">+20</f>
        <v>20</v>
      </c>
      <c r="D20" s="4" t="s">
        <v>17</v>
      </c>
      <c r="E20" s="4" t="s">
        <v>54</v>
      </c>
      <c r="F20" s="5">
        <f>+60</f>
        <v>60</v>
      </c>
      <c r="G20" s="4" t="s">
        <v>146</v>
      </c>
    </row>
    <row r="21" ht="22.5" customHeight="1">
      <c r="A21" s="4" t="s">
        <v>59</v>
      </c>
      <c r="B21" s="4" t="s">
        <v>147</v>
      </c>
      <c r="C21" s="5">
        <f t="shared" si="1"/>
        <v>20</v>
      </c>
      <c r="D21" s="4" t="s">
        <v>10</v>
      </c>
      <c r="E21" s="4" t="s">
        <v>54</v>
      </c>
      <c r="F21" s="5">
        <f>+30</f>
        <v>30</v>
      </c>
      <c r="G21" s="4" t="s">
        <v>148</v>
      </c>
    </row>
    <row r="22" ht="22.5" customHeight="1">
      <c r="A22" s="4" t="s">
        <v>59</v>
      </c>
      <c r="B22" s="4" t="s">
        <v>149</v>
      </c>
      <c r="C22" s="5">
        <f>+18</f>
        <v>18</v>
      </c>
      <c r="D22" s="4" t="s">
        <v>10</v>
      </c>
      <c r="E22" s="4" t="s">
        <v>54</v>
      </c>
      <c r="F22" s="5">
        <f>+50</f>
        <v>50</v>
      </c>
      <c r="G22" s="4" t="s">
        <v>150</v>
      </c>
    </row>
    <row r="23" ht="22.5" customHeight="1">
      <c r="A23" s="6"/>
      <c r="B23" s="4"/>
      <c r="C23" s="7"/>
      <c r="D23" s="6"/>
      <c r="E23" s="6"/>
      <c r="F23" s="7"/>
      <c r="G23" s="6"/>
    </row>
    <row r="24" ht="22.5" customHeight="1">
      <c r="A24" s="6"/>
      <c r="B24" s="4"/>
      <c r="C24" s="7"/>
      <c r="D24" s="6"/>
      <c r="E24" s="6"/>
      <c r="F24" s="7"/>
      <c r="G24" s="6"/>
    </row>
    <row r="25" ht="22.5" customHeight="1">
      <c r="A25" s="6"/>
      <c r="B25" s="4"/>
      <c r="C25" s="7"/>
      <c r="D25" s="6"/>
      <c r="E25" s="6"/>
      <c r="F25" s="7"/>
      <c r="G25" s="6"/>
    </row>
  </sheetData>
  <drawing r:id="rId1"/>
  <tableParts count="1">
    <tablePart r:id="rId3"/>
  </tableParts>
</worksheet>
</file>